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estim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lumn Guide" sheetId="3" state="visible" r:id="rId3"/>
  </sheets>
  <definedNames>
    <definedName name="_xlnm._FilterDatabase" localSheetId="0" hidden="1">'Time estimation'!$A$1:$G$8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EDF2"/>
      </patternFill>
    </fill>
    <fill>
      <patternFill patternType="solid">
        <fgColor rgb="00F2F4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 indent="1"/>
    </xf>
    <xf numFmtId="0" fontId="2" fillId="4" borderId="1" applyAlignment="1" pivotButton="0" quotePrefix="0" xfId="0">
      <alignment vertical="center" wrapText="1" indent="1"/>
    </xf>
    <xf numFmtId="0" fontId="4" fillId="5" borderId="1" applyAlignment="1" pivotButton="0" quotePrefix="0" xfId="0">
      <alignment vertical="center" indent="1"/>
    </xf>
    <xf numFmtId="0" fontId="2" fillId="5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nsa.atlassian.net/browse/REDJ-464" TargetMode="External" Id="rId1"/><Relationship Type="http://schemas.openxmlformats.org/officeDocument/2006/relationships/hyperlink" Target="https://leansa.atlassian.net/browse/REDJ-464" TargetMode="External" Id="rId2"/><Relationship Type="http://schemas.openxmlformats.org/officeDocument/2006/relationships/hyperlink" Target="https://leansa.atlassian.net/browse/REDJ-593" TargetMode="External" Id="rId3"/><Relationship Type="http://schemas.openxmlformats.org/officeDocument/2006/relationships/hyperlink" Target="https://leansa.atlassian.net/browse/REDJ-593" TargetMode="External" Id="rId4"/><Relationship Type="http://schemas.openxmlformats.org/officeDocument/2006/relationships/hyperlink" Target="https://leansa.atlassian.net/browse/REDJ-463" TargetMode="External" Id="rId5"/><Relationship Type="http://schemas.openxmlformats.org/officeDocument/2006/relationships/hyperlink" Target="https://leansa.atlassian.net/browse/REDJ-463" TargetMode="External" Id="rId6"/><Relationship Type="http://schemas.openxmlformats.org/officeDocument/2006/relationships/hyperlink" Target="https://leansa.atlassian.net/browse/REDJ-467" TargetMode="External" Id="rId7"/><Relationship Type="http://schemas.openxmlformats.org/officeDocument/2006/relationships/hyperlink" Target="https://leansa.atlassian.net/browse/REDJ-467" TargetMode="External" Id="rId8"/><Relationship Type="http://schemas.openxmlformats.org/officeDocument/2006/relationships/hyperlink" Target="https://leansa.atlassian.net/browse/REDJ-594" TargetMode="External" Id="rId9"/><Relationship Type="http://schemas.openxmlformats.org/officeDocument/2006/relationships/hyperlink" Target="https://leansa.atlassian.net/browse/REDJ-594" TargetMode="External" Id="rId10"/><Relationship Type="http://schemas.openxmlformats.org/officeDocument/2006/relationships/hyperlink" Target="https://leansa.atlassian.net/browse/REDJ-598" TargetMode="External" Id="rId11"/><Relationship Type="http://schemas.openxmlformats.org/officeDocument/2006/relationships/hyperlink" Target="https://leansa.atlassian.net/browse/REDJ-598" TargetMode="External" Id="rId12"/><Relationship Type="http://schemas.openxmlformats.org/officeDocument/2006/relationships/hyperlink" Target="https://leansa.atlassian.net/browse/REDJ-600" TargetMode="External" Id="rId13"/><Relationship Type="http://schemas.openxmlformats.org/officeDocument/2006/relationships/hyperlink" Target="https://leansa.atlassian.net/browse/REDJ-60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  <col width="24" customWidth="1" min="4" max="4"/>
    <col width="22" customWidth="1" min="5" max="5"/>
    <col width="36" customWidth="1" min="6" max="6"/>
    <col width="36" customWidth="1" min="7" max="7"/>
  </cols>
  <sheetData>
    <row r="1" ht="36" customHeight="1">
      <c r="A1" s="1" t="inlineStr">
        <is>
          <t>Execution Order</t>
        </is>
      </c>
      <c r="B1" s="1" t="inlineStr">
        <is>
          <t>Story #</t>
        </is>
      </c>
      <c r="C1" s="1" t="inlineStr">
        <is>
          <t>Story Name</t>
        </is>
      </c>
      <c r="D1" s="1" t="inlineStr">
        <is>
          <t>Dependencies</t>
        </is>
      </c>
      <c r="E1" s="1" t="inlineStr">
        <is>
          <t>Estimation (in hours)</t>
        </is>
      </c>
      <c r="F1" s="1" t="inlineStr">
        <is>
          <t>Justification</t>
        </is>
      </c>
      <c r="G1" s="1" t="inlineStr">
        <is>
          <t>Reduction Tips</t>
        </is>
      </c>
    </row>
    <row r="2" ht="22" customHeight="1">
      <c r="A2" s="2" t="n"/>
      <c r="B2" s="3" t="inlineStr">
        <is>
          <t>REDJ-464</t>
        </is>
      </c>
      <c r="C2" s="3" t="inlineStr">
        <is>
          <t>Include Reference ID to the private sector</t>
        </is>
      </c>
      <c r="D2" s="2" t="n"/>
      <c r="E2" s="4" t="n">
        <v>8</v>
      </c>
      <c r="F2" s="2" t="n"/>
      <c r="G2" s="2" t="n"/>
    </row>
    <row r="3" ht="22" customHeight="1">
      <c r="A3" s="2" t="n"/>
      <c r="B3" s="3" t="inlineStr">
        <is>
          <t>REDJ-593</t>
        </is>
      </c>
      <c r="C3" s="3" t="inlineStr">
        <is>
          <t>API: Submit Referral</t>
        </is>
      </c>
      <c r="D3" s="2" t="n"/>
      <c r="E3" s="4" t="n">
        <v>20</v>
      </c>
      <c r="F3" s="2" t="n"/>
      <c r="G3" s="2" t="n"/>
    </row>
    <row r="4" ht="22" customHeight="1">
      <c r="A4" s="2" t="n"/>
      <c r="B4" s="3" t="inlineStr">
        <is>
          <t>REDJ-463</t>
        </is>
      </c>
      <c r="C4" s="3" t="inlineStr">
        <is>
          <t xml:space="preserve"> Receive and Display External Referral as Draft for TPA</t>
        </is>
      </c>
      <c r="D4" s="2" t="n"/>
      <c r="E4" s="4" t="n">
        <v>16</v>
      </c>
      <c r="F4" s="2" t="n"/>
      <c r="G4" s="2" t="n"/>
    </row>
    <row r="5" ht="22" customHeight="1">
      <c r="A5" s="2" t="n"/>
      <c r="B5" s="3" t="inlineStr">
        <is>
          <t>REDJ-467</t>
        </is>
      </c>
      <c r="C5" s="3" t="inlineStr">
        <is>
          <t>API: External Updates for Public Referrals</t>
        </is>
      </c>
      <c r="D5" s="2" t="n"/>
      <c r="E5" s="4" t="n">
        <v>20</v>
      </c>
      <c r="F5" s="2" t="n"/>
      <c r="G5" s="2" t="n"/>
    </row>
    <row r="6" ht="22" customHeight="1">
      <c r="A6" s="2" t="n"/>
      <c r="B6" s="3" t="inlineStr">
        <is>
          <t>REDJ-594</t>
        </is>
      </c>
      <c r="C6" s="3" t="inlineStr">
        <is>
          <t>APIs : Update lookups</t>
        </is>
      </c>
      <c r="D6" s="2" t="n"/>
      <c r="E6" s="4" t="n">
        <v>20</v>
      </c>
      <c r="F6" s="2" t="n"/>
      <c r="G6" s="2" t="n"/>
    </row>
    <row r="7" ht="22" customHeight="1">
      <c r="A7" s="2" t="n"/>
      <c r="B7" s="3" t="inlineStr">
        <is>
          <t>REDJ-598</t>
        </is>
      </c>
      <c r="C7" s="3" t="inlineStr">
        <is>
          <t>APIs : Upload Attachments Service</t>
        </is>
      </c>
      <c r="D7" s="2" t="n"/>
      <c r="E7" s="4" t="n">
        <v>16</v>
      </c>
      <c r="F7" s="2" t="n"/>
      <c r="G7" s="2" t="n"/>
    </row>
    <row r="8" ht="22" customHeight="1">
      <c r="A8" s="2" t="n"/>
      <c r="B8" s="3" t="inlineStr">
        <is>
          <t>REDJ-600</t>
        </is>
      </c>
      <c r="C8" s="3" t="inlineStr">
        <is>
          <t>External Updates for Public Referrals</t>
        </is>
      </c>
      <c r="D8" s="2" t="n"/>
      <c r="E8" s="4" t="n">
        <v>4</v>
      </c>
      <c r="F8" s="2" t="n"/>
      <c r="G8" s="2" t="n"/>
    </row>
    <row r="9" ht="22" customHeight="1">
      <c r="A9" s="5" t="inlineStr">
        <is>
          <t>Total</t>
        </is>
      </c>
      <c r="B9" s="6" t="n"/>
      <c r="C9" s="6" t="n"/>
      <c r="D9" s="6" t="n"/>
      <c r="E9" s="6">
        <f>SUM(E2:E8)</f>
        <v/>
      </c>
      <c r="F9" s="6" t="n"/>
      <c r="G9" s="6" t="n"/>
    </row>
  </sheetData>
  <autoFilter ref="A1:G8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 ht="22" customHeight="1">
      <c r="A2" s="7" t="inlineStr">
        <is>
          <t>Total Stories</t>
        </is>
      </c>
      <c r="B2" s="4">
        <f>COUNTA('Time estimation'!B2:B8)</f>
        <v/>
      </c>
    </row>
    <row r="3" ht="22" customHeight="1">
      <c r="A3" s="7" t="inlineStr">
        <is>
          <t>Total Estimation (hours)</t>
        </is>
      </c>
      <c r="B3" s="4">
        <f>SUM('Time estimation'!E2:E8)</f>
        <v/>
      </c>
    </row>
    <row r="4" ht="22" customHeight="1">
      <c r="A4" s="7" t="inlineStr">
        <is>
          <t>Total Estimation (days @ 8h/day)</t>
        </is>
      </c>
      <c r="B4" s="4">
        <f>ROUND(SUM('Time estimation'!E2:E8)/8,2)</f>
        <v/>
      </c>
    </row>
    <row r="5" ht="22" customHeight="1">
      <c r="A5" s="7" t="inlineStr">
        <is>
          <t>Average per Story (hours)</t>
        </is>
      </c>
      <c r="B5" s="4">
        <f>ROUND(AVERAGE('Time estimation'!E2:E8),2)</f>
        <v/>
      </c>
    </row>
    <row r="6" ht="22" customHeight="1">
      <c r="A6" s="7" t="inlineStr">
        <is>
          <t>Median per Story (hours)</t>
        </is>
      </c>
      <c r="B6" s="4">
        <f>ROUND(MEDIAN('Time estimation'!E2:E8),2)</f>
        <v/>
      </c>
    </row>
    <row r="7" ht="22" customHeight="1">
      <c r="A7" s="7" t="inlineStr">
        <is>
          <t>Longest Story (hours)</t>
        </is>
      </c>
      <c r="B7" s="4">
        <f>MAX('Time estimation'!E2:E8)</f>
        <v/>
      </c>
    </row>
    <row r="8" ht="22" customHeight="1">
      <c r="A8" s="7" t="inlineStr">
        <is>
          <t>Shortest Story (hours)</t>
        </is>
      </c>
      <c r="B8" s="4">
        <f>MIN('Time estimation'!E2:E8)</f>
        <v/>
      </c>
    </row>
    <row r="9" ht="22" customHeight="1">
      <c r="A9" s="7" t="inlineStr">
        <is>
          <t>Stories &gt; 1 day (&gt;8h)</t>
        </is>
      </c>
      <c r="B9" s="4">
        <f>COUNTIF('Time estimation'!E2:E8,"&gt;8")</f>
        <v/>
      </c>
    </row>
    <row r="10" ht="22" customHeight="1">
      <c r="A10" s="7" t="inlineStr">
        <is>
          <t>% Stories &gt; 1 day</t>
        </is>
      </c>
      <c r="B10" s="4">
        <f>ROUND(COUNTIF('Time estimation'!E2:E8,"&gt;8")/COUNTA('Time estimation'!B2:B8)*100,2)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32" customHeight="1">
      <c r="A1" s="1" t="inlineStr">
        <is>
          <t>Column</t>
        </is>
      </c>
      <c r="B1" s="1" t="inlineStr">
        <is>
          <t>Description</t>
        </is>
      </c>
    </row>
    <row r="2" ht="48" customHeight="1">
      <c r="A2" s="8" t="inlineStr">
        <is>
          <t>Execution Order</t>
        </is>
      </c>
      <c r="B2" s="9" t="inlineStr">
        <is>
          <t>The order in which this story should be implemented (1 = first). Ties are allowed - stories with the same number are co-dependent and can run in parallel.</t>
        </is>
      </c>
    </row>
    <row r="3" ht="48" customHeight="1">
      <c r="A3" s="10" t="inlineStr">
        <is>
          <t>Story #</t>
        </is>
      </c>
      <c r="B3" s="11" t="inlineStr">
        <is>
          <t>The Jira ticket ID (e.g. REDJ-464). Click to open the ticket in Jira.</t>
        </is>
      </c>
    </row>
    <row r="4" ht="48" customHeight="1">
      <c r="A4" s="8" t="inlineStr">
        <is>
          <t>Story Name</t>
        </is>
      </c>
      <c r="B4" s="9" t="inlineStr">
        <is>
          <t>The full name of the story. Click to open the Jira ticket.</t>
        </is>
      </c>
    </row>
    <row r="5" ht="48" customHeight="1">
      <c r="A5" s="10" t="inlineStr">
        <is>
          <t>Dependencies</t>
        </is>
      </c>
      <c r="B5" s="11" t="inlineStr">
        <is>
          <t>Comma-separated Jira ticket IDs that this story depends on. Example: REDJ-464, REDJ-593. Leave blank if none.</t>
        </is>
      </c>
    </row>
    <row r="6" ht="48" customHeight="1">
      <c r="A6" s="8" t="inlineStr">
        <is>
          <t>Estimation (in hours)</t>
        </is>
      </c>
      <c r="B6" s="9" t="inlineStr">
        <is>
          <t>The estimated effort to implement this story, in hours.</t>
        </is>
      </c>
    </row>
    <row r="7" ht="48" customHeight="1">
      <c r="A7" s="10" t="inlineStr">
        <is>
          <t>Justification</t>
        </is>
      </c>
      <c r="B7" s="11" t="inlineStr">
        <is>
          <t>Explain why this story was estimated at this number of hours. Include assumptions, complexity factors, or risks.</t>
        </is>
      </c>
    </row>
    <row r="8" ht="48" customHeight="1">
      <c r="A8" s="8" t="inlineStr">
        <is>
          <t>Reduction Tips</t>
        </is>
      </c>
      <c r="B8" s="9" t="inlineStr">
        <is>
          <t>Ways to reduce the estimate - e.g. descoping, reusing existing code, or splitting the 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2026-06-23T09:53:33Z</dcterms:created>
  <dcterms:modified xmlns:dcterms="http://purl.org/dc/terms/" xmlns:xsi="http://www.w3.org/2001/XMLSchema-instance" xsi:type="dcterms:W3CDTF">2026-06-23T09:53:33Z</dcterms:modified>
</cp:coreProperties>
</file>